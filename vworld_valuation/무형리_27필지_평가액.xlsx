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평가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595959"/>
      <sz val="9"/>
    </font>
    <font>
      <name val="Arial"/>
      <b val="1"/>
    </font>
    <font>
      <name val="Arial"/>
      <color rgb="00000000"/>
    </font>
    <font>
      <name val="Arial"/>
      <color rgb="000000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9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4" fontId="5" fillId="3" borderId="1" pivotButton="0" quotePrefix="0" xfId="0"/>
    <xf numFmtId="3" fontId="5" fillId="3" borderId="1" pivotButton="0" quotePrefix="0" xfId="0"/>
    <xf numFmtId="3" fontId="4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4" fontId="3" fillId="4" borderId="1" pivotButton="0" quotePrefix="0" xfId="0"/>
    <xf numFmtId="3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script</author>
  </authors>
  <commentList>
    <comment ref="D5" authorId="0" shapeId="0">
      <text>
        <t>PNU = 법정동코드 5214038026(익산시 망성면 무형리, 전북특별자치도 52) + 산구분 1(일반) + 본번 4자리 + 부번 4자리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9" customWidth="1" min="3" max="3"/>
    <col width="22" customWidth="1" min="4" max="4"/>
    <col width="8" customWidth="1" min="5" max="5"/>
    <col width="13" customWidth="1" min="6" max="6"/>
    <col width="19" customWidth="1" min="7" max="7"/>
    <col width="18" customWidth="1" min="8" max="8"/>
    <col width="30" customWidth="1" min="9" max="9"/>
  </cols>
  <sheetData>
    <row r="1">
      <c r="A1" s="1" t="inlineStr">
        <is>
          <t>전북특별자치도 익산시 망성면 무형리 27필지 평가액 (2026년 개별공시지가 기준)</t>
        </is>
      </c>
    </row>
    <row r="2">
      <c r="A2" s="2" t="inlineStr">
        <is>
          <t>출처: 브이월드 오픈API 토지임야목록(ladfrlList)·개별공시지가(getIndvdLandPriceAttr). 평가액 = 면적(㎡) × 개별공시지가(원/㎡). ※ 노란 칸(지목·면적·공시지가)은 API 미조회 상태 — 값을 입력하면 평가액·합계가 자동 계산됨.</t>
        </is>
      </c>
    </row>
    <row r="4">
      <c r="A4" s="3" t="inlineStr">
        <is>
          <t>No</t>
        </is>
      </c>
      <c r="B4" s="3" t="inlineStr">
        <is>
          <t>소재지</t>
        </is>
      </c>
      <c r="C4" s="3" t="inlineStr">
        <is>
          <t>지번</t>
        </is>
      </c>
      <c r="D4" s="3" t="inlineStr">
        <is>
          <t>PNU</t>
        </is>
      </c>
      <c r="E4" s="3" t="inlineStr">
        <is>
          <t>지목</t>
        </is>
      </c>
      <c r="F4" s="3" t="inlineStr">
        <is>
          <t>면적(㎡)</t>
        </is>
      </c>
      <c r="G4" s="3" t="inlineStr">
        <is>
          <t>개별공시지가(원/㎡)</t>
        </is>
      </c>
      <c r="H4" s="3" t="inlineStr">
        <is>
          <t>평가액(원)</t>
        </is>
      </c>
      <c r="I4" s="3" t="inlineStr">
        <is>
          <t>비고</t>
        </is>
      </c>
    </row>
    <row r="5">
      <c r="A5" s="4" t="n">
        <v>1</v>
      </c>
      <c r="B5" s="5" t="inlineStr">
        <is>
          <t>전북특별자치도 익산시 망성면 무형리</t>
        </is>
      </c>
      <c r="C5" s="4" t="inlineStr">
        <is>
          <t>458</t>
        </is>
      </c>
      <c r="D5" s="6" t="inlineStr">
        <is>
          <t>5214038026104580000</t>
        </is>
      </c>
      <c r="E5" s="7" t="n"/>
      <c r="F5" s="8" t="n"/>
      <c r="G5" s="9" t="n"/>
      <c r="H5" s="10">
        <f>IF(OR(F5="",G5=""),"",F5*G5)</f>
        <v/>
      </c>
      <c r="I5" s="5" t="inlineStr"/>
    </row>
    <row r="6">
      <c r="A6" s="4" t="n">
        <v>2</v>
      </c>
      <c r="B6" s="5" t="inlineStr">
        <is>
          <t>전북특별자치도 익산시 망성면 무형리</t>
        </is>
      </c>
      <c r="C6" s="4" t="inlineStr">
        <is>
          <t>474</t>
        </is>
      </c>
      <c r="D6" s="6" t="inlineStr">
        <is>
          <t>5214038026104740000</t>
        </is>
      </c>
      <c r="E6" s="7" t="n"/>
      <c r="F6" s="8" t="n"/>
      <c r="G6" s="9" t="n"/>
      <c r="H6" s="10">
        <f>IF(OR(F6="",G6=""),"",F6*G6)</f>
        <v/>
      </c>
      <c r="I6" s="5" t="inlineStr"/>
    </row>
    <row r="7">
      <c r="A7" s="4" t="n">
        <v>3</v>
      </c>
      <c r="B7" s="5" t="inlineStr">
        <is>
          <t>전북특별자치도 익산시 망성면 무형리</t>
        </is>
      </c>
      <c r="C7" s="4" t="inlineStr">
        <is>
          <t>474-3</t>
        </is>
      </c>
      <c r="D7" s="6" t="inlineStr">
        <is>
          <t>5214038026104740003</t>
        </is>
      </c>
      <c r="E7" s="7" t="n"/>
      <c r="F7" s="8" t="n"/>
      <c r="G7" s="9" t="n"/>
      <c r="H7" s="10">
        <f>IF(OR(F7="",G7=""),"",F7*G7)</f>
        <v/>
      </c>
      <c r="I7" s="5" t="inlineStr"/>
    </row>
    <row r="8">
      <c r="A8" s="4" t="n">
        <v>4</v>
      </c>
      <c r="B8" s="5" t="inlineStr">
        <is>
          <t>전북특별자치도 익산시 망성면 무형리</t>
        </is>
      </c>
      <c r="C8" s="4" t="inlineStr">
        <is>
          <t>474-7</t>
        </is>
      </c>
      <c r="D8" s="6" t="inlineStr">
        <is>
          <t>5214038026104740007</t>
        </is>
      </c>
      <c r="E8" s="7" t="n"/>
      <c r="F8" s="8" t="n"/>
      <c r="G8" s="9" t="n"/>
      <c r="H8" s="10">
        <f>IF(OR(F8="",G8=""),"",F8*G8)</f>
        <v/>
      </c>
      <c r="I8" s="5" t="inlineStr"/>
    </row>
    <row r="9">
      <c r="A9" s="4" t="n">
        <v>5</v>
      </c>
      <c r="B9" s="5" t="inlineStr">
        <is>
          <t>전북특별자치도 익산시 망성면 무형리</t>
        </is>
      </c>
      <c r="C9" s="4" t="inlineStr">
        <is>
          <t>475</t>
        </is>
      </c>
      <c r="D9" s="6" t="inlineStr">
        <is>
          <t>5214038026104750000</t>
        </is>
      </c>
      <c r="E9" s="7" t="n"/>
      <c r="F9" s="8" t="n"/>
      <c r="G9" s="9" t="n"/>
      <c r="H9" s="10">
        <f>IF(OR(F9="",G9=""),"",F9*G9)</f>
        <v/>
      </c>
      <c r="I9" s="5" t="inlineStr"/>
    </row>
    <row r="10">
      <c r="A10" s="4" t="n">
        <v>6</v>
      </c>
      <c r="B10" s="5" t="inlineStr">
        <is>
          <t>전북특별자치도 익산시 망성면 무형리</t>
        </is>
      </c>
      <c r="C10" s="4" t="inlineStr">
        <is>
          <t>476</t>
        </is>
      </c>
      <c r="D10" s="6" t="inlineStr">
        <is>
          <t>5214038026104760000</t>
        </is>
      </c>
      <c r="E10" s="7" t="n"/>
      <c r="F10" s="8" t="n"/>
      <c r="G10" s="9" t="n"/>
      <c r="H10" s="10">
        <f>IF(OR(F10="",G10=""),"",F10*G10)</f>
        <v/>
      </c>
      <c r="I10" s="5" t="inlineStr"/>
    </row>
    <row r="11">
      <c r="A11" s="4" t="n">
        <v>7</v>
      </c>
      <c r="B11" s="5" t="inlineStr">
        <is>
          <t>전북특별자치도 익산시 망성면 무형리</t>
        </is>
      </c>
      <c r="C11" s="4" t="inlineStr">
        <is>
          <t>477-12</t>
        </is>
      </c>
      <c r="D11" s="6" t="inlineStr">
        <is>
          <t>5214038026104770012</t>
        </is>
      </c>
      <c r="E11" s="7" t="n"/>
      <c r="F11" s="8" t="n"/>
      <c r="G11" s="9" t="n"/>
      <c r="H11" s="10">
        <f>IF(OR(F11="",G11=""),"",F11*G11)</f>
        <v/>
      </c>
      <c r="I11" s="5" t="inlineStr"/>
    </row>
    <row r="12">
      <c r="A12" s="4" t="n">
        <v>8</v>
      </c>
      <c r="B12" s="5" t="inlineStr">
        <is>
          <t>전북특별자치도 익산시 망성면 무형리</t>
        </is>
      </c>
      <c r="C12" s="4" t="inlineStr">
        <is>
          <t>477-14</t>
        </is>
      </c>
      <c r="D12" s="6" t="inlineStr">
        <is>
          <t>5214038026104770014</t>
        </is>
      </c>
      <c r="E12" s="7" t="n"/>
      <c r="F12" s="8" t="n"/>
      <c r="G12" s="9" t="n"/>
      <c r="H12" s="10">
        <f>IF(OR(F12="",G12=""),"",F12*G12)</f>
        <v/>
      </c>
      <c r="I12" s="5" t="inlineStr"/>
    </row>
    <row r="13">
      <c r="A13" s="4" t="n">
        <v>9</v>
      </c>
      <c r="B13" s="5" t="inlineStr">
        <is>
          <t>전북특별자치도 익산시 망성면 무형리</t>
        </is>
      </c>
      <c r="C13" s="4" t="inlineStr">
        <is>
          <t>481-16</t>
        </is>
      </c>
      <c r="D13" s="6" t="inlineStr">
        <is>
          <t>5214038026104810016</t>
        </is>
      </c>
      <c r="E13" s="7" t="n"/>
      <c r="F13" s="8" t="n"/>
      <c r="G13" s="9" t="n"/>
      <c r="H13" s="10">
        <f>IF(OR(F13="",G13=""),"",F13*G13)</f>
        <v/>
      </c>
      <c r="I13" s="5" t="inlineStr"/>
    </row>
    <row r="14">
      <c r="A14" s="4" t="n">
        <v>10</v>
      </c>
      <c r="B14" s="5" t="inlineStr">
        <is>
          <t>전북특별자치도 익산시 망성면 무형리</t>
        </is>
      </c>
      <c r="C14" s="4" t="inlineStr">
        <is>
          <t>481-17</t>
        </is>
      </c>
      <c r="D14" s="6" t="inlineStr">
        <is>
          <t>5214038026104810017</t>
        </is>
      </c>
      <c r="E14" s="7" t="n"/>
      <c r="F14" s="8" t="n"/>
      <c r="G14" s="9" t="n"/>
      <c r="H14" s="10">
        <f>IF(OR(F14="",G14=""),"",F14*G14)</f>
        <v/>
      </c>
      <c r="I14" s="5" t="inlineStr"/>
    </row>
    <row r="15">
      <c r="A15" s="4" t="n">
        <v>11</v>
      </c>
      <c r="B15" s="5" t="inlineStr">
        <is>
          <t>전북특별자치도 익산시 망성면 무형리</t>
        </is>
      </c>
      <c r="C15" s="4" t="inlineStr">
        <is>
          <t>490-14</t>
        </is>
      </c>
      <c r="D15" s="6" t="inlineStr">
        <is>
          <t>5214038026104900014</t>
        </is>
      </c>
      <c r="E15" s="7" t="n"/>
      <c r="F15" s="8" t="n"/>
      <c r="G15" s="9" t="n"/>
      <c r="H15" s="10">
        <f>IF(OR(F15="",G15=""),"",F15*G15)</f>
        <v/>
      </c>
      <c r="I15" s="5" t="inlineStr"/>
    </row>
    <row r="16">
      <c r="A16" s="4" t="n">
        <v>12</v>
      </c>
      <c r="B16" s="5" t="inlineStr">
        <is>
          <t>전북특별자치도 익산시 망성면 무형리</t>
        </is>
      </c>
      <c r="C16" s="4" t="inlineStr">
        <is>
          <t>490-15</t>
        </is>
      </c>
      <c r="D16" s="6" t="inlineStr">
        <is>
          <t>5214038026104900015</t>
        </is>
      </c>
      <c r="E16" s="7" t="n"/>
      <c r="F16" s="8" t="n"/>
      <c r="G16" s="9" t="n"/>
      <c r="H16" s="10">
        <f>IF(OR(F16="",G16=""),"",F16*G16)</f>
        <v/>
      </c>
      <c r="I16" s="5" t="inlineStr"/>
    </row>
    <row r="17">
      <c r="A17" s="4" t="n">
        <v>13</v>
      </c>
      <c r="B17" s="5" t="inlineStr">
        <is>
          <t>전북특별자치도 익산시 망성면 무형리</t>
        </is>
      </c>
      <c r="C17" s="4" t="inlineStr">
        <is>
          <t>490-16</t>
        </is>
      </c>
      <c r="D17" s="6" t="inlineStr">
        <is>
          <t>5214038026104900016</t>
        </is>
      </c>
      <c r="E17" s="7" t="n"/>
      <c r="F17" s="8" t="n"/>
      <c r="G17" s="9" t="n"/>
      <c r="H17" s="10">
        <f>IF(OR(F17="",G17=""),"",F17*G17)</f>
        <v/>
      </c>
      <c r="I17" s="5" t="inlineStr"/>
    </row>
    <row r="18">
      <c r="A18" s="4" t="n">
        <v>14</v>
      </c>
      <c r="B18" s="5" t="inlineStr">
        <is>
          <t>전북특별자치도 익산시 망성면 무형리</t>
        </is>
      </c>
      <c r="C18" s="4" t="inlineStr">
        <is>
          <t>692-3</t>
        </is>
      </c>
      <c r="D18" s="6" t="inlineStr">
        <is>
          <t>5214038026106920003</t>
        </is>
      </c>
      <c r="E18" s="7" t="n"/>
      <c r="F18" s="8" t="n"/>
      <c r="G18" s="9" t="n"/>
      <c r="H18" s="10">
        <f>IF(OR(F18="",G18=""),"",F18*G18)</f>
        <v/>
      </c>
      <c r="I18" s="5" t="inlineStr"/>
    </row>
    <row r="19">
      <c r="A19" s="4" t="n">
        <v>15</v>
      </c>
      <c r="B19" s="5" t="inlineStr">
        <is>
          <t>전북특별자치도 익산시 망성면 무형리</t>
        </is>
      </c>
      <c r="C19" s="4" t="inlineStr">
        <is>
          <t>694-1</t>
        </is>
      </c>
      <c r="D19" s="6" t="inlineStr">
        <is>
          <t>5214038026106940001</t>
        </is>
      </c>
      <c r="E19" s="7" t="n"/>
      <c r="F19" s="8" t="n"/>
      <c r="G19" s="9" t="n"/>
      <c r="H19" s="10">
        <f>IF(OR(F19="",G19=""),"",F19*G19)</f>
        <v/>
      </c>
      <c r="I19" s="5" t="inlineStr"/>
    </row>
    <row r="20">
      <c r="A20" s="4" t="n">
        <v>16</v>
      </c>
      <c r="B20" s="5" t="inlineStr">
        <is>
          <t>전북특별자치도 익산시 망성면 무형리</t>
        </is>
      </c>
      <c r="C20" s="4" t="inlineStr">
        <is>
          <t>710-4</t>
        </is>
      </c>
      <c r="D20" s="6" t="inlineStr">
        <is>
          <t>5214038026107100004</t>
        </is>
      </c>
      <c r="E20" s="7" t="n"/>
      <c r="F20" s="8" t="n"/>
      <c r="G20" s="9" t="n"/>
      <c r="H20" s="10">
        <f>IF(OR(F20="",G20=""),"",F20*G20)</f>
        <v/>
      </c>
      <c r="I20" s="5" t="inlineStr"/>
    </row>
    <row r="21">
      <c r="A21" s="4" t="n">
        <v>17</v>
      </c>
      <c r="B21" s="5" t="inlineStr">
        <is>
          <t>전북특별자치도 익산시 망성면 무형리</t>
        </is>
      </c>
      <c r="C21" s="4" t="inlineStr">
        <is>
          <t>710-6</t>
        </is>
      </c>
      <c r="D21" s="6" t="inlineStr">
        <is>
          <t>5214038026107100006</t>
        </is>
      </c>
      <c r="E21" s="7" t="n"/>
      <c r="F21" s="8" t="n"/>
      <c r="G21" s="9" t="n"/>
      <c r="H21" s="10">
        <f>IF(OR(F21="",G21=""),"",F21*G21)</f>
        <v/>
      </c>
      <c r="I21" s="5" t="inlineStr"/>
    </row>
    <row r="22">
      <c r="A22" s="4" t="n">
        <v>18</v>
      </c>
      <c r="B22" s="5" t="inlineStr">
        <is>
          <t>전북특별자치도 익산시 망성면 무형리</t>
        </is>
      </c>
      <c r="C22" s="4" t="inlineStr">
        <is>
          <t>710-7</t>
        </is>
      </c>
      <c r="D22" s="6" t="inlineStr">
        <is>
          <t>5214038026107100007</t>
        </is>
      </c>
      <c r="E22" s="7" t="n"/>
      <c r="F22" s="8" t="n"/>
      <c r="G22" s="9" t="n"/>
      <c r="H22" s="10">
        <f>IF(OR(F22="",G22=""),"",F22*G22)</f>
        <v/>
      </c>
      <c r="I22" s="5" t="inlineStr"/>
    </row>
    <row r="23">
      <c r="A23" s="4" t="n">
        <v>19</v>
      </c>
      <c r="B23" s="5" t="inlineStr">
        <is>
          <t>전북특별자치도 익산시 망성면 무형리</t>
        </is>
      </c>
      <c r="C23" s="4" t="inlineStr">
        <is>
          <t>745</t>
        </is>
      </c>
      <c r="D23" s="6" t="inlineStr">
        <is>
          <t>5214038026107450000</t>
        </is>
      </c>
      <c r="E23" s="7" t="n"/>
      <c r="F23" s="8" t="n"/>
      <c r="G23" s="9" t="n"/>
      <c r="H23" s="10">
        <f>IF(OR(F23="",G23=""),"",F23*G23)</f>
        <v/>
      </c>
      <c r="I23" s="5" t="inlineStr"/>
    </row>
    <row r="24">
      <c r="A24" s="4" t="n">
        <v>20</v>
      </c>
      <c r="B24" s="5" t="inlineStr">
        <is>
          <t>전북특별자치도 익산시 망성면 무형리</t>
        </is>
      </c>
      <c r="C24" s="4" t="inlineStr">
        <is>
          <t>750</t>
        </is>
      </c>
      <c r="D24" s="6" t="inlineStr">
        <is>
          <t>5214038026107500000</t>
        </is>
      </c>
      <c r="E24" s="7" t="n"/>
      <c r="F24" s="8" t="n"/>
      <c r="G24" s="9" t="n"/>
      <c r="H24" s="10">
        <f>IF(OR(F24="",G24=""),"",F24*G24)</f>
        <v/>
      </c>
      <c r="I24" s="5" t="inlineStr"/>
    </row>
    <row r="25">
      <c r="A25" s="4" t="n">
        <v>21</v>
      </c>
      <c r="B25" s="5" t="inlineStr">
        <is>
          <t>전북특별자치도 익산시 망성면 무형리</t>
        </is>
      </c>
      <c r="C25" s="4" t="inlineStr">
        <is>
          <t>757</t>
        </is>
      </c>
      <c r="D25" s="6" t="inlineStr">
        <is>
          <t>5214038026107570000</t>
        </is>
      </c>
      <c r="E25" s="7" t="n"/>
      <c r="F25" s="8" t="n"/>
      <c r="G25" s="9" t="n"/>
      <c r="H25" s="10">
        <f>IF(OR(F25="",G25=""),"",F25*G25)</f>
        <v/>
      </c>
      <c r="I25" s="5" t="inlineStr"/>
    </row>
    <row r="26">
      <c r="A26" s="4" t="n">
        <v>22</v>
      </c>
      <c r="B26" s="5" t="inlineStr">
        <is>
          <t>전북특별자치도 익산시 망성면 무형리</t>
        </is>
      </c>
      <c r="C26" s="4" t="inlineStr">
        <is>
          <t>758</t>
        </is>
      </c>
      <c r="D26" s="6" t="inlineStr">
        <is>
          <t>5214038026107580000</t>
        </is>
      </c>
      <c r="E26" s="7" t="n"/>
      <c r="F26" s="8" t="n"/>
      <c r="G26" s="9" t="n"/>
      <c r="H26" s="10">
        <f>IF(OR(F26="",G26=""),"",F26*G26)</f>
        <v/>
      </c>
      <c r="I26" s="5" t="inlineStr"/>
    </row>
    <row r="27">
      <c r="A27" s="4" t="n">
        <v>23</v>
      </c>
      <c r="B27" s="5" t="inlineStr">
        <is>
          <t>전북특별자치도 익산시 망성면 무형리</t>
        </is>
      </c>
      <c r="C27" s="4" t="inlineStr">
        <is>
          <t>759-1</t>
        </is>
      </c>
      <c r="D27" s="6" t="inlineStr">
        <is>
          <t>5214038026107590001</t>
        </is>
      </c>
      <c r="E27" s="7" t="n"/>
      <c r="F27" s="8" t="n"/>
      <c r="G27" s="9" t="n"/>
      <c r="H27" s="10">
        <f>IF(OR(F27="",G27=""),"",F27*G27)</f>
        <v/>
      </c>
      <c r="I27" s="5" t="inlineStr"/>
    </row>
    <row r="28">
      <c r="A28" s="4" t="n">
        <v>24</v>
      </c>
      <c r="B28" s="5" t="inlineStr">
        <is>
          <t>전북특별자치도 익산시 망성면 무형리</t>
        </is>
      </c>
      <c r="C28" s="4" t="inlineStr">
        <is>
          <t>759-2</t>
        </is>
      </c>
      <c r="D28" s="6" t="inlineStr">
        <is>
          <t>5214038026107590002</t>
        </is>
      </c>
      <c r="E28" s="7" t="n"/>
      <c r="F28" s="8" t="n"/>
      <c r="G28" s="9" t="n"/>
      <c r="H28" s="10">
        <f>IF(OR(F28="",G28=""),"",F28*G28)</f>
        <v/>
      </c>
      <c r="I28" s="5" t="inlineStr"/>
    </row>
    <row r="29">
      <c r="A29" s="4" t="n">
        <v>25</v>
      </c>
      <c r="B29" s="5" t="inlineStr">
        <is>
          <t>전북특별자치도 익산시 망성면 무형리</t>
        </is>
      </c>
      <c r="C29" s="4" t="inlineStr">
        <is>
          <t>760</t>
        </is>
      </c>
      <c r="D29" s="6" t="inlineStr">
        <is>
          <t>5214038026107600000</t>
        </is>
      </c>
      <c r="E29" s="7" t="n"/>
      <c r="F29" s="8" t="n"/>
      <c r="G29" s="9" t="n"/>
      <c r="H29" s="10">
        <f>IF(OR(F29="",G29=""),"",F29*G29)</f>
        <v/>
      </c>
      <c r="I29" s="5" t="inlineStr"/>
    </row>
    <row r="30">
      <c r="A30" s="4" t="n">
        <v>26</v>
      </c>
      <c r="B30" s="5" t="inlineStr">
        <is>
          <t>전북특별자치도 익산시 망성면 무형리</t>
        </is>
      </c>
      <c r="C30" s="4" t="inlineStr">
        <is>
          <t>1816-3</t>
        </is>
      </c>
      <c r="D30" s="6" t="inlineStr">
        <is>
          <t>5214038026118160003</t>
        </is>
      </c>
      <c r="E30" s="7" t="n"/>
      <c r="F30" s="8" t="n"/>
      <c r="G30" s="9" t="n"/>
      <c r="H30" s="10">
        <f>IF(OR(F30="",G30=""),"",F30*G30)</f>
        <v/>
      </c>
      <c r="I30" s="5" t="inlineStr"/>
    </row>
    <row r="31">
      <c r="A31" s="4" t="n">
        <v>27</v>
      </c>
      <c r="B31" s="5" t="inlineStr">
        <is>
          <t>전북특별자치도 익산시 망성면 무형리</t>
        </is>
      </c>
      <c r="C31" s="4" t="inlineStr">
        <is>
          <t>1820-1</t>
        </is>
      </c>
      <c r="D31" s="6" t="inlineStr">
        <is>
          <t>5214038026118200001</t>
        </is>
      </c>
      <c r="E31" s="7" t="n"/>
      <c r="F31" s="8" t="n"/>
      <c r="G31" s="9" t="n"/>
      <c r="H31" s="10">
        <f>IF(OR(F31="",G31=""),"",F31*G31)</f>
        <v/>
      </c>
      <c r="I31" s="5" t="inlineStr"/>
    </row>
    <row r="32">
      <c r="A32" s="11" t="inlineStr">
        <is>
          <t>합계</t>
        </is>
      </c>
      <c r="B32" s="12" t="n"/>
      <c r="C32" s="12" t="n"/>
      <c r="D32" s="12" t="n"/>
      <c r="E32" s="12" t="n"/>
      <c r="F32" s="13">
        <f>SUM(F5:F31)</f>
        <v/>
      </c>
      <c r="G32" s="12" t="n"/>
      <c r="H32" s="14">
        <f>SUM(H5:H31)</f>
        <v/>
      </c>
      <c r="I32" s="12" t="n"/>
    </row>
  </sheetData>
  <mergeCells count="1">
    <mergeCell ref="A32:E3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2026-10-03T06:16:33Z</dcterms:created>
  <dcterms:modified xsi:type="dcterms:W3CDTF">2026-10-03T06:16:33Z</dcterms:modified>
</cp:coreProperties>
</file>